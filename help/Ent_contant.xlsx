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s\UDP\MyUDP0310\help\"/>
    </mc:Choice>
  </mc:AlternateContent>
  <xr:revisionPtr revIDLastSave="0" documentId="13_ncr:1_{46821E0D-9B4C-4399-B333-B88AEC362306}" xr6:coauthVersionLast="47" xr6:coauthVersionMax="47" xr10:uidLastSave="{00000000-0000-0000-0000-000000000000}"/>
  <bookViews>
    <workbookView xWindow="-28920" yWindow="-45" windowWidth="29040" windowHeight="15720" xr2:uid="{0A3A1713-A9CC-44BC-ACAC-9E67F131A9F0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" i="1" l="1"/>
  <c r="O15" i="1"/>
  <c r="M15" i="1"/>
  <c r="N15" i="1"/>
  <c r="M14" i="1"/>
  <c r="N14" i="1"/>
  <c r="M12" i="1"/>
  <c r="N8" i="1"/>
  <c r="N9" i="1"/>
  <c r="N10" i="1"/>
  <c r="N11" i="1"/>
  <c r="N12" i="1"/>
  <c r="N7" i="1"/>
  <c r="M8" i="1"/>
  <c r="M9" i="1"/>
  <c r="M10" i="1"/>
  <c r="M7" i="1"/>
  <c r="L7" i="1"/>
  <c r="L8" i="1"/>
  <c r="L9" i="1"/>
  <c r="L10" i="1"/>
  <c r="L11" i="1"/>
  <c r="L12" i="1"/>
  <c r="L13" i="1"/>
  <c r="L14" i="1"/>
  <c r="L6" i="1"/>
  <c r="H15" i="1"/>
  <c r="H8" i="1"/>
  <c r="L4" i="1"/>
  <c r="M4" i="1" s="1"/>
  <c r="H3" i="1"/>
  <c r="C14" i="1"/>
  <c r="C9" i="1"/>
  <c r="C3" i="1"/>
  <c r="H25" i="1" l="1"/>
  <c r="C19" i="1"/>
</calcChain>
</file>

<file path=xl/sharedStrings.xml><?xml version="1.0" encoding="utf-8"?>
<sst xmlns="http://schemas.openxmlformats.org/spreadsheetml/2006/main" count="51" uniqueCount="43">
  <si>
    <t>des_mac</t>
  </si>
  <si>
    <t>src_mac</t>
  </si>
  <si>
    <t>eth_type</t>
  </si>
  <si>
    <t>HTYPE</t>
  </si>
  <si>
    <t>PTYPE</t>
  </si>
  <si>
    <t>HLEN</t>
  </si>
  <si>
    <t>PLEN</t>
  </si>
  <si>
    <t>OPER</t>
  </si>
  <si>
    <t>SHA_MAC</t>
  </si>
  <si>
    <t>SHA_IP</t>
  </si>
  <si>
    <t>THA_MAC</t>
  </si>
  <si>
    <t>THA_IP</t>
  </si>
  <si>
    <t>CRC</t>
  </si>
  <si>
    <t>Ver;IHL;DSCP;ECN</t>
  </si>
  <si>
    <t>length</t>
  </si>
  <si>
    <t>ID</t>
  </si>
  <si>
    <t>flags;framoff</t>
  </si>
  <si>
    <t>TTL</t>
  </si>
  <si>
    <t>protocol</t>
  </si>
  <si>
    <t>IP_checksum</t>
  </si>
  <si>
    <t>src_ip</t>
  </si>
  <si>
    <t>des_ip</t>
  </si>
  <si>
    <t>src_port</t>
  </si>
  <si>
    <t>des_port</t>
  </si>
  <si>
    <t>UDPlength</t>
  </si>
  <si>
    <t>udpchecksum</t>
  </si>
  <si>
    <t>0001</t>
  </si>
  <si>
    <t>0800</t>
  </si>
  <si>
    <t>06</t>
  </si>
  <si>
    <t>04</t>
  </si>
  <si>
    <t>0001/2</t>
  </si>
  <si>
    <t>0806</t>
  </si>
  <si>
    <t>002d</t>
  </si>
  <si>
    <t>0000</t>
  </si>
  <si>
    <t>40</t>
  </si>
  <si>
    <t>11</t>
  </si>
  <si>
    <t>b6c8</t>
  </si>
  <si>
    <t>4000</t>
  </si>
  <si>
    <t>4500</t>
  </si>
  <si>
    <t>4011</t>
  </si>
  <si>
    <t>c0a8</t>
  </si>
  <si>
    <t>0180</t>
  </si>
  <si>
    <t>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</si>
</sst>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FFDF-987A-4C09-9CA0-C289D07FFA84}">
  <dimension ref="A1:P25"/>
  <sheetViews>
    <sheetView tabSelected="1" workbookViewId="0">
      <selection activeCell="F6" sqref="F6"/>
    </sheetView>
  </sheetViews>
  <sheetFormatPr defaultRowHeight="14.25" x14ac:dyDescent="0.2"/>
  <cols>
    <col min="4" max="4" width="9" style="1"/>
    <col min="6" max="6" width="17.375" customWidth="1"/>
    <col min="9" max="9" width="9" style="1"/>
    <col min="11" max="11" width="9" style="1"/>
  </cols>
  <sheetData>
    <row r="1" spans="1:16" x14ac:dyDescent="0.2">
      <c r="A1" t="s">
        <v>0</v>
      </c>
      <c r="B1">
        <v>6</v>
      </c>
      <c r="F1" t="s">
        <v>0</v>
      </c>
      <c r="G1">
        <v>6</v>
      </c>
    </row>
    <row r="2" spans="1:16" x14ac:dyDescent="0.2">
      <c r="A2" t="s">
        <v>1</v>
      </c>
      <c r="B2">
        <v>6</v>
      </c>
      <c r="F2" t="s">
        <v>1</v>
      </c>
      <c r="G2">
        <v>6</v>
      </c>
    </row>
    <row r="3" spans="1:16" x14ac:dyDescent="0.2">
      <c r="A3" t="s">
        <v>2</v>
      </c>
      <c r="B3">
        <v>2</v>
      </c>
      <c r="C3">
        <f>SUM(B1:B3)</f>
        <v>14</v>
      </c>
      <c r="D3" s="1" t="s">
        <v>31</v>
      </c>
      <c r="F3" t="s">
        <v>2</v>
      </c>
      <c r="G3">
        <v>2</v>
      </c>
      <c r="H3">
        <f>SUM(G1:G3)</f>
        <v>14</v>
      </c>
      <c r="I3" s="1" t="s">
        <v>27</v>
      </c>
    </row>
    <row r="4" spans="1:16" x14ac:dyDescent="0.2">
      <c r="L4">
        <f>28*8</f>
        <v>224</v>
      </c>
      <c r="M4">
        <f>L4/64</f>
        <v>3.5</v>
      </c>
    </row>
    <row r="5" spans="1:16" x14ac:dyDescent="0.2">
      <c r="A5" t="s">
        <v>3</v>
      </c>
      <c r="B5">
        <v>2</v>
      </c>
      <c r="D5" s="1" t="s">
        <v>26</v>
      </c>
      <c r="F5" t="s">
        <v>13</v>
      </c>
      <c r="G5">
        <v>2</v>
      </c>
      <c r="I5" s="1">
        <v>4500</v>
      </c>
    </row>
    <row r="6" spans="1:16" x14ac:dyDescent="0.2">
      <c r="A6" t="s">
        <v>4</v>
      </c>
      <c r="B6">
        <v>2</v>
      </c>
      <c r="D6" s="1" t="s">
        <v>27</v>
      </c>
      <c r="F6" t="s">
        <v>14</v>
      </c>
      <c r="G6">
        <v>2</v>
      </c>
      <c r="I6" s="1" t="s">
        <v>32</v>
      </c>
      <c r="K6" s="1" t="s">
        <v>38</v>
      </c>
      <c r="L6">
        <f>HEX2DEC(K6)</f>
        <v>17664</v>
      </c>
    </row>
    <row r="7" spans="1:16" x14ac:dyDescent="0.2">
      <c r="A7" t="s">
        <v>5</v>
      </c>
      <c r="B7">
        <v>1</v>
      </c>
      <c r="D7" s="1" t="s">
        <v>28</v>
      </c>
      <c r="F7" t="s">
        <v>15</v>
      </c>
      <c r="G7">
        <v>2</v>
      </c>
      <c r="I7" s="1" t="s">
        <v>33</v>
      </c>
      <c r="K7" s="1" t="s">
        <v>32</v>
      </c>
      <c r="L7">
        <f t="shared" ref="L7:L14" si="0">HEX2DEC(K7)</f>
        <v>45</v>
      </c>
      <c r="M7">
        <f>SUM($L$6:L7)</f>
        <v>17709</v>
      </c>
      <c r="N7" t="str">
        <f>DEC2HEX(M7)</f>
        <v>452D</v>
      </c>
    </row>
    <row r="8" spans="1:16" x14ac:dyDescent="0.2">
      <c r="A8" t="s">
        <v>6</v>
      </c>
      <c r="B8">
        <v>1</v>
      </c>
      <c r="D8" s="1" t="s">
        <v>29</v>
      </c>
      <c r="F8" t="s">
        <v>16</v>
      </c>
      <c r="G8">
        <v>2</v>
      </c>
      <c r="H8">
        <f>SUM(G5:G8)</f>
        <v>8</v>
      </c>
      <c r="I8" s="1" t="s">
        <v>37</v>
      </c>
      <c r="K8" s="1" t="s">
        <v>33</v>
      </c>
      <c r="L8">
        <f t="shared" si="0"/>
        <v>0</v>
      </c>
      <c r="M8">
        <f>SUM($L$6:L8)</f>
        <v>17709</v>
      </c>
      <c r="N8" t="str">
        <f t="shared" ref="N8:P15" si="1">DEC2HEX(M8)</f>
        <v>452D</v>
      </c>
    </row>
    <row r="9" spans="1:16" x14ac:dyDescent="0.2">
      <c r="A9" t="s">
        <v>7</v>
      </c>
      <c r="B9">
        <v>2</v>
      </c>
      <c r="C9">
        <f>SUM(B5:B9)</f>
        <v>8</v>
      </c>
      <c r="D9" s="1" t="s">
        <v>30</v>
      </c>
      <c r="K9" s="1" t="s">
        <v>37</v>
      </c>
      <c r="L9">
        <f t="shared" si="0"/>
        <v>16384</v>
      </c>
      <c r="M9">
        <f>SUM($L$6:L9)</f>
        <v>34093</v>
      </c>
      <c r="N9" t="str">
        <f t="shared" si="1"/>
        <v>852D</v>
      </c>
    </row>
    <row r="10" spans="1:16" x14ac:dyDescent="0.2">
      <c r="K10" s="1" t="s">
        <v>39</v>
      </c>
      <c r="L10">
        <f t="shared" si="0"/>
        <v>16401</v>
      </c>
      <c r="M10">
        <f>SUM($L$6:L10)</f>
        <v>50494</v>
      </c>
      <c r="N10" t="str">
        <f t="shared" si="1"/>
        <v>C53E</v>
      </c>
    </row>
    <row r="11" spans="1:16" x14ac:dyDescent="0.2">
      <c r="A11" t="s">
        <v>8</v>
      </c>
      <c r="B11">
        <v>6</v>
      </c>
      <c r="F11" t="s">
        <v>17</v>
      </c>
      <c r="G11">
        <v>1</v>
      </c>
      <c r="I11" s="1" t="s">
        <v>34</v>
      </c>
      <c r="K11" s="1" t="s">
        <v>40</v>
      </c>
      <c r="L11">
        <f t="shared" si="0"/>
        <v>49320</v>
      </c>
      <c r="N11" t="str">
        <f t="shared" si="1"/>
        <v>0</v>
      </c>
    </row>
    <row r="12" spans="1:16" x14ac:dyDescent="0.2">
      <c r="A12" t="s">
        <v>9</v>
      </c>
      <c r="B12">
        <v>4</v>
      </c>
      <c r="F12" t="s">
        <v>18</v>
      </c>
      <c r="G12">
        <v>1</v>
      </c>
      <c r="I12" s="1" t="s">
        <v>35</v>
      </c>
      <c r="K12" s="1" t="s">
        <v>41</v>
      </c>
      <c r="L12">
        <f t="shared" si="0"/>
        <v>384</v>
      </c>
      <c r="M12">
        <f>SUM($L$11:L12)</f>
        <v>49704</v>
      </c>
      <c r="N12" t="str">
        <f t="shared" si="1"/>
        <v>C228</v>
      </c>
    </row>
    <row r="13" spans="1:16" x14ac:dyDescent="0.2">
      <c r="A13" t="s">
        <v>10</v>
      </c>
      <c r="B13">
        <v>6</v>
      </c>
      <c r="F13" t="s">
        <v>19</v>
      </c>
      <c r="G13">
        <v>2</v>
      </c>
      <c r="I13" s="1" t="s">
        <v>36</v>
      </c>
      <c r="K13" s="1" t="s">
        <v>40</v>
      </c>
      <c r="L13">
        <f t="shared" si="0"/>
        <v>49320</v>
      </c>
    </row>
    <row r="14" spans="1:16" x14ac:dyDescent="0.2">
      <c r="A14" t="s">
        <v>11</v>
      </c>
      <c r="B14">
        <v>4</v>
      </c>
      <c r="C14">
        <f>SUM(B10:B14)</f>
        <v>20</v>
      </c>
      <c r="F14" t="s">
        <v>20</v>
      </c>
      <c r="G14">
        <v>4</v>
      </c>
      <c r="K14" s="1" t="s">
        <v>42</v>
      </c>
      <c r="L14">
        <f t="shared" si="0"/>
        <v>295</v>
      </c>
      <c r="M14">
        <f>SUM($L$13:L14)</f>
        <v>49615</v>
      </c>
      <c r="N14" t="str">
        <f t="shared" si="1"/>
        <v>C1CF</v>
      </c>
    </row>
    <row r="15" spans="1:16" x14ac:dyDescent="0.2">
      <c r="F15" t="s">
        <v>21</v>
      </c>
      <c r="G15">
        <v>4</v>
      </c>
      <c r="H15">
        <f>SUM(G11:G15)</f>
        <v>12</v>
      </c>
      <c r="M15">
        <f>SUM(M12:M14)</f>
        <v>99319</v>
      </c>
      <c r="N15" t="str">
        <f t="shared" si="1"/>
        <v>183F7</v>
      </c>
      <c r="O15">
        <f>M15+M10</f>
        <v>149813</v>
      </c>
      <c r="P15" t="str">
        <f t="shared" si="1"/>
        <v>24935</v>
      </c>
    </row>
    <row r="17" spans="1:8" x14ac:dyDescent="0.2">
      <c r="F17" t="s">
        <v>22</v>
      </c>
      <c r="G17">
        <v>2</v>
      </c>
    </row>
    <row r="18" spans="1:8" x14ac:dyDescent="0.2">
      <c r="C18">
        <v>18</v>
      </c>
      <c r="F18" t="s">
        <v>23</v>
      </c>
      <c r="G18">
        <v>2</v>
      </c>
    </row>
    <row r="19" spans="1:8" x14ac:dyDescent="0.2">
      <c r="C19">
        <f>SUM(C1:C18)</f>
        <v>60</v>
      </c>
      <c r="F19" t="s">
        <v>24</v>
      </c>
      <c r="G19">
        <v>2</v>
      </c>
    </row>
    <row r="20" spans="1:8" x14ac:dyDescent="0.2">
      <c r="F20" t="s">
        <v>25</v>
      </c>
      <c r="G20">
        <v>2</v>
      </c>
      <c r="H20">
        <v>8</v>
      </c>
    </row>
    <row r="21" spans="1:8" x14ac:dyDescent="0.2">
      <c r="A21" t="s">
        <v>12</v>
      </c>
      <c r="B21">
        <v>4</v>
      </c>
    </row>
    <row r="22" spans="1:8" x14ac:dyDescent="0.2">
      <c r="H22">
        <v>18</v>
      </c>
    </row>
    <row r="25" spans="1:8" x14ac:dyDescent="0.2">
      <c r="H25">
        <f>SUM(H3:H24)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יצחק עדני</dc:creator>
  <cp:lastModifiedBy>יצחק עדני</cp:lastModifiedBy>
  <dcterms:created xsi:type="dcterms:W3CDTF">2026-10-09T10:56:52Z</dcterms:created>
  <dcterms:modified xsi:type="dcterms:W3CDTF">2026-10-10T18:15:05Z</dcterms:modified>
</cp:coreProperties>
</file>