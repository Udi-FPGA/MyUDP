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igns\UDP\MyUDP2510\help\"/>
    </mc:Choice>
  </mc:AlternateContent>
  <xr:revisionPtr revIDLastSave="0" documentId="13_ncr:1_{B4978D11-3F5C-48B4-A384-1D70CEC08009}" xr6:coauthVersionLast="47" xr6:coauthVersionMax="47" xr10:uidLastSave="{00000000-0000-0000-0000-000000000000}"/>
  <bookViews>
    <workbookView xWindow="-28905" yWindow="75" windowWidth="14610" windowHeight="15585" xr2:uid="{0A3A1713-A9CC-44BC-ACAC-9E67F131A9F0}"/>
  </bookViews>
  <sheets>
    <sheet name="גיליון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" i="1" l="1"/>
  <c r="J8" i="1"/>
  <c r="J9" i="1"/>
  <c r="J10" i="1"/>
  <c r="J11" i="1"/>
  <c r="J12" i="1"/>
  <c r="J13" i="1"/>
  <c r="K13" i="1" s="1"/>
  <c r="J14" i="1"/>
  <c r="K14" i="1" s="1"/>
  <c r="J15" i="1"/>
  <c r="K15" i="1" s="1"/>
  <c r="J16" i="1"/>
  <c r="K16" i="1" s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6" i="1"/>
  <c r="K6" i="1" s="1"/>
  <c r="K2" i="1"/>
  <c r="K3" i="1"/>
  <c r="K4" i="1"/>
  <c r="K5" i="1"/>
  <c r="K7" i="1"/>
  <c r="K8" i="1"/>
  <c r="K9" i="1"/>
  <c r="K10" i="1"/>
  <c r="K11" i="1"/>
  <c r="K12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1" i="1"/>
  <c r="J3" i="1"/>
  <c r="J4" i="1"/>
  <c r="J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2" i="1"/>
  <c r="E18" i="1"/>
  <c r="E9" i="1"/>
  <c r="E3" i="1"/>
  <c r="E26" i="1" l="1"/>
</calcChain>
</file>

<file path=xl/sharedStrings.xml><?xml version="1.0" encoding="utf-8"?>
<sst xmlns="http://schemas.openxmlformats.org/spreadsheetml/2006/main" count="52" uniqueCount="43">
  <si>
    <t>des_mac</t>
  </si>
  <si>
    <t>src_mac</t>
  </si>
  <si>
    <t>eth_type</t>
  </si>
  <si>
    <t>HTYPE</t>
  </si>
  <si>
    <t>PTYPE</t>
  </si>
  <si>
    <t>HLEN</t>
  </si>
  <si>
    <t>PLEN</t>
  </si>
  <si>
    <t>OPER</t>
  </si>
  <si>
    <t>SHA_MAC</t>
  </si>
  <si>
    <t>SHA_IP</t>
  </si>
  <si>
    <t>THA_MAC</t>
  </si>
  <si>
    <t>THA_IP</t>
  </si>
  <si>
    <t>CRC</t>
  </si>
  <si>
    <t>Ver;IHL;DSCP;ECN</t>
  </si>
  <si>
    <t>ID</t>
  </si>
  <si>
    <t>flags;framoff</t>
  </si>
  <si>
    <t>TTL</t>
  </si>
  <si>
    <t>protocol</t>
  </si>
  <si>
    <t>IP_checksum</t>
  </si>
  <si>
    <t>src_ip</t>
  </si>
  <si>
    <t>des_ip</t>
  </si>
  <si>
    <t>src_port</t>
  </si>
  <si>
    <t>des_port</t>
  </si>
  <si>
    <t>UDPlength</t>
  </si>
  <si>
    <t>udpchecksum</t>
  </si>
  <si>
    <t>0001</t>
  </si>
  <si>
    <t>0800</t>
  </si>
  <si>
    <t>06</t>
  </si>
  <si>
    <t>04</t>
  </si>
  <si>
    <t>0001/2</t>
  </si>
  <si>
    <t>0806</t>
  </si>
  <si>
    <t>002d</t>
  </si>
  <si>
    <t>0000</t>
  </si>
  <si>
    <t>40</t>
  </si>
  <si>
    <t>11</t>
  </si>
  <si>
    <t>4000</t>
  </si>
  <si>
    <t>Payload size + 28</t>
  </si>
  <si>
    <t>Payload size + 8</t>
  </si>
  <si>
    <t>IPSize</t>
  </si>
  <si>
    <t>IPcheckSum1 = 16'h4500 + IPSize + 16'h0000 + 16'h0000 + 16'h4011;</t>
  </si>
  <si>
    <t>IPcheckSum2 = local_ip[31:16] + local_ip[15:0] + des_ip[31:16] + des_ip[15:0];</t>
  </si>
  <si>
    <t xml:space="preserve">Data (0) </t>
  </si>
  <si>
    <t xml:space="preserve">data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</si>
</sst>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charset val="177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EFFDF-987A-4C09-9CA0-C289D07FFA84}">
  <dimension ref="A1:N29"/>
  <sheetViews>
    <sheetView tabSelected="1" topLeftCell="I1" workbookViewId="0">
      <selection activeCell="L7" sqref="L7"/>
    </sheetView>
  </sheetViews>
  <sheetFormatPr defaultRowHeight="14.25" x14ac:dyDescent="0.2"/>
  <cols>
    <col min="6" max="6" width="9" style="1"/>
    <col min="8" max="8" width="17.375" customWidth="1"/>
    <col min="12" max="12" width="9" style="1"/>
    <col min="14" max="14" width="9" style="1"/>
  </cols>
  <sheetData>
    <row r="1" spans="1:13" x14ac:dyDescent="0.2">
      <c r="A1" t="s">
        <v>0</v>
      </c>
      <c r="B1">
        <v>6</v>
      </c>
      <c r="D1" t="str">
        <f>DEC2HEX(C1)</f>
        <v>0</v>
      </c>
      <c r="H1" t="s">
        <v>0</v>
      </c>
      <c r="I1">
        <v>6</v>
      </c>
      <c r="K1" t="str">
        <f>DEC2HEX(J1)</f>
        <v>0</v>
      </c>
    </row>
    <row r="2" spans="1:13" x14ac:dyDescent="0.2">
      <c r="A2" t="s">
        <v>1</v>
      </c>
      <c r="B2">
        <v>6</v>
      </c>
      <c r="C2">
        <f>SUM($B$1:B2)</f>
        <v>12</v>
      </c>
      <c r="D2" t="str">
        <f t="shared" ref="D2:D29" si="0">DEC2HEX(C2)</f>
        <v>C</v>
      </c>
      <c r="H2" t="s">
        <v>1</v>
      </c>
      <c r="I2">
        <v>6</v>
      </c>
      <c r="J2">
        <f>SUM($I$1:I2)</f>
        <v>12</v>
      </c>
      <c r="K2" t="str">
        <f t="shared" ref="K2:K29" si="1">DEC2HEX(J2)</f>
        <v>C</v>
      </c>
    </row>
    <row r="3" spans="1:13" x14ac:dyDescent="0.2">
      <c r="A3" t="s">
        <v>2</v>
      </c>
      <c r="B3">
        <v>2</v>
      </c>
      <c r="C3">
        <f>SUM($B$1:B3)</f>
        <v>14</v>
      </c>
      <c r="D3" t="str">
        <f t="shared" si="0"/>
        <v>E</v>
      </c>
      <c r="E3">
        <f>SUM(B1:B3)</f>
        <v>14</v>
      </c>
      <c r="F3" s="1" t="s">
        <v>30</v>
      </c>
      <c r="H3" t="s">
        <v>2</v>
      </c>
      <c r="I3">
        <v>2</v>
      </c>
      <c r="J3">
        <f>SUM($I$1:I3)</f>
        <v>14</v>
      </c>
      <c r="K3" t="str">
        <f t="shared" si="1"/>
        <v>E</v>
      </c>
      <c r="L3" s="1" t="s">
        <v>26</v>
      </c>
    </row>
    <row r="4" spans="1:13" x14ac:dyDescent="0.2">
      <c r="C4">
        <f>SUM($B$1:B4)</f>
        <v>14</v>
      </c>
      <c r="D4" t="str">
        <f t="shared" si="0"/>
        <v>E</v>
      </c>
      <c r="J4">
        <f>SUM($I$1:I4)</f>
        <v>14</v>
      </c>
      <c r="K4" t="str">
        <f t="shared" si="1"/>
        <v>E</v>
      </c>
    </row>
    <row r="5" spans="1:13" x14ac:dyDescent="0.2">
      <c r="A5" t="s">
        <v>3</v>
      </c>
      <c r="B5">
        <v>2</v>
      </c>
      <c r="C5">
        <f>SUM($B$1:B5)</f>
        <v>16</v>
      </c>
      <c r="D5" t="str">
        <f t="shared" si="0"/>
        <v>10</v>
      </c>
      <c r="F5" s="1" t="s">
        <v>25</v>
      </c>
      <c r="H5" t="s">
        <v>13</v>
      </c>
      <c r="I5">
        <v>2</v>
      </c>
      <c r="K5" t="str">
        <f t="shared" si="1"/>
        <v>0</v>
      </c>
      <c r="L5" s="1">
        <v>4500</v>
      </c>
    </row>
    <row r="6" spans="1:13" x14ac:dyDescent="0.2">
      <c r="A6" t="s">
        <v>4</v>
      </c>
      <c r="B6">
        <v>2</v>
      </c>
      <c r="C6">
        <f>SUM($B$1:B6)</f>
        <v>18</v>
      </c>
      <c r="D6" t="str">
        <f t="shared" si="0"/>
        <v>12</v>
      </c>
      <c r="F6" s="1" t="s">
        <v>26</v>
      </c>
      <c r="H6" t="s">
        <v>38</v>
      </c>
      <c r="I6">
        <v>2</v>
      </c>
      <c r="J6">
        <f>SUM($I$6:I6)-1</f>
        <v>1</v>
      </c>
      <c r="K6" t="str">
        <f t="shared" si="1"/>
        <v>1</v>
      </c>
      <c r="L6" s="1" t="s">
        <v>31</v>
      </c>
      <c r="M6" t="s">
        <v>36</v>
      </c>
    </row>
    <row r="7" spans="1:13" x14ac:dyDescent="0.2">
      <c r="A7" t="s">
        <v>5</v>
      </c>
      <c r="B7">
        <v>1</v>
      </c>
      <c r="C7">
        <f>SUM($B$1:B7)</f>
        <v>19</v>
      </c>
      <c r="D7" t="str">
        <f t="shared" si="0"/>
        <v>13</v>
      </c>
      <c r="F7" s="1" t="s">
        <v>27</v>
      </c>
      <c r="H7" t="s">
        <v>14</v>
      </c>
      <c r="I7">
        <v>2</v>
      </c>
      <c r="J7">
        <f>SUM($I$6:I7)-1</f>
        <v>3</v>
      </c>
      <c r="K7" t="str">
        <f t="shared" si="1"/>
        <v>3</v>
      </c>
      <c r="L7" s="1" t="s">
        <v>32</v>
      </c>
    </row>
    <row r="8" spans="1:13" x14ac:dyDescent="0.2">
      <c r="A8" t="s">
        <v>6</v>
      </c>
      <c r="B8">
        <v>1</v>
      </c>
      <c r="C8">
        <f>SUM($B$1:B8)</f>
        <v>20</v>
      </c>
      <c r="D8" t="str">
        <f t="shared" si="0"/>
        <v>14</v>
      </c>
      <c r="F8" s="1" t="s">
        <v>28</v>
      </c>
      <c r="J8">
        <f>SUM($I$6:I8)-1</f>
        <v>3</v>
      </c>
      <c r="K8" t="str">
        <f t="shared" si="1"/>
        <v>3</v>
      </c>
    </row>
    <row r="9" spans="1:13" x14ac:dyDescent="0.2">
      <c r="A9" t="s">
        <v>7</v>
      </c>
      <c r="B9">
        <v>2</v>
      </c>
      <c r="C9">
        <f>SUM($B$1:B9)</f>
        <v>22</v>
      </c>
      <c r="D9" t="str">
        <f t="shared" si="0"/>
        <v>16</v>
      </c>
      <c r="E9">
        <f>SUM(B5:B9)</f>
        <v>8</v>
      </c>
      <c r="F9" s="1" t="s">
        <v>29</v>
      </c>
      <c r="H9" t="s">
        <v>15</v>
      </c>
      <c r="I9">
        <v>2</v>
      </c>
      <c r="J9">
        <f>SUM($I$6:I9)-1</f>
        <v>5</v>
      </c>
      <c r="K9" t="str">
        <f t="shared" si="1"/>
        <v>5</v>
      </c>
      <c r="L9" s="1" t="s">
        <v>35</v>
      </c>
    </row>
    <row r="10" spans="1:13" x14ac:dyDescent="0.2">
      <c r="C10">
        <f>SUM($B$1:B10)</f>
        <v>22</v>
      </c>
      <c r="D10" t="str">
        <f t="shared" si="0"/>
        <v>16</v>
      </c>
      <c r="J10">
        <f>SUM($I$6:I10)-1</f>
        <v>5</v>
      </c>
      <c r="K10" t="str">
        <f t="shared" si="1"/>
        <v>5</v>
      </c>
    </row>
    <row r="11" spans="1:13" x14ac:dyDescent="0.2">
      <c r="C11">
        <f>SUM($B$1:B11)</f>
        <v>22</v>
      </c>
      <c r="D11" t="str">
        <f t="shared" si="0"/>
        <v>16</v>
      </c>
      <c r="J11">
        <f>SUM($I$6:I11)-1</f>
        <v>5</v>
      </c>
      <c r="K11" t="str">
        <f t="shared" si="1"/>
        <v>5</v>
      </c>
    </row>
    <row r="12" spans="1:13" x14ac:dyDescent="0.2">
      <c r="A12" t="s">
        <v>8</v>
      </c>
      <c r="B12">
        <v>6</v>
      </c>
      <c r="C12">
        <f>SUM($B$1:B12)</f>
        <v>28</v>
      </c>
      <c r="D12" t="str">
        <f t="shared" si="0"/>
        <v>1C</v>
      </c>
      <c r="F12" t="s">
        <v>1</v>
      </c>
      <c r="H12" t="s">
        <v>16</v>
      </c>
      <c r="I12">
        <v>1</v>
      </c>
      <c r="J12">
        <f>SUM($I$6:I12)-1</f>
        <v>6</v>
      </c>
      <c r="K12" t="str">
        <f t="shared" si="1"/>
        <v>6</v>
      </c>
      <c r="L12" s="1" t="s">
        <v>33</v>
      </c>
    </row>
    <row r="13" spans="1:13" x14ac:dyDescent="0.2">
      <c r="C13">
        <f>SUM($B$1:B13)</f>
        <v>28</v>
      </c>
      <c r="D13" t="str">
        <f t="shared" si="0"/>
        <v>1C</v>
      </c>
      <c r="H13" t="s">
        <v>17</v>
      </c>
      <c r="I13">
        <v>1</v>
      </c>
      <c r="J13">
        <f>SUM($I$6:I13)-1</f>
        <v>7</v>
      </c>
      <c r="K13" t="str">
        <f t="shared" si="1"/>
        <v>7</v>
      </c>
      <c r="L13" s="1" t="s">
        <v>34</v>
      </c>
      <c r="M13" t="s">
        <v>39</v>
      </c>
    </row>
    <row r="14" spans="1:13" x14ac:dyDescent="0.2">
      <c r="C14">
        <f>SUM($B$1:B14)</f>
        <v>28</v>
      </c>
      <c r="D14" t="str">
        <f t="shared" si="0"/>
        <v>1C</v>
      </c>
      <c r="H14" t="s">
        <v>18</v>
      </c>
      <c r="I14">
        <v>2</v>
      </c>
      <c r="J14">
        <f>SUM($I$6:I14)-1</f>
        <v>9</v>
      </c>
      <c r="K14" t="str">
        <f t="shared" si="1"/>
        <v>9</v>
      </c>
      <c r="M14" t="s">
        <v>40</v>
      </c>
    </row>
    <row r="15" spans="1:13" x14ac:dyDescent="0.2">
      <c r="C15">
        <f>SUM($B$1:B15)</f>
        <v>28</v>
      </c>
      <c r="D15" t="str">
        <f t="shared" si="0"/>
        <v>1C</v>
      </c>
      <c r="J15">
        <f>SUM($I$6:I15)-1</f>
        <v>9</v>
      </c>
      <c r="K15" t="str">
        <f t="shared" si="1"/>
        <v>9</v>
      </c>
    </row>
    <row r="16" spans="1:13" x14ac:dyDescent="0.2">
      <c r="A16" t="s">
        <v>9</v>
      </c>
      <c r="B16">
        <v>4</v>
      </c>
      <c r="C16">
        <f>SUM($B$1:B16)</f>
        <v>32</v>
      </c>
      <c r="D16" t="str">
        <f t="shared" si="0"/>
        <v>20</v>
      </c>
      <c r="F16" t="s">
        <v>19</v>
      </c>
      <c r="H16" t="s">
        <v>19</v>
      </c>
      <c r="I16">
        <v>4</v>
      </c>
      <c r="J16">
        <f>SUM($I$6:I16)-1</f>
        <v>13</v>
      </c>
      <c r="K16" t="str">
        <f t="shared" si="1"/>
        <v>D</v>
      </c>
    </row>
    <row r="17" spans="1:13" x14ac:dyDescent="0.2">
      <c r="A17" t="s">
        <v>10</v>
      </c>
      <c r="B17">
        <v>6</v>
      </c>
      <c r="C17">
        <f>SUM($B$1:B17)</f>
        <v>38</v>
      </c>
      <c r="D17" t="str">
        <f t="shared" si="0"/>
        <v>26</v>
      </c>
      <c r="F17" t="s">
        <v>0</v>
      </c>
      <c r="H17" t="s">
        <v>20</v>
      </c>
      <c r="I17">
        <v>4</v>
      </c>
      <c r="J17">
        <f>SUM($I$6:I17)-1</f>
        <v>17</v>
      </c>
      <c r="K17" t="str">
        <f t="shared" si="1"/>
        <v>11</v>
      </c>
    </row>
    <row r="18" spans="1:13" x14ac:dyDescent="0.2">
      <c r="A18" t="s">
        <v>11</v>
      </c>
      <c r="B18">
        <v>4</v>
      </c>
      <c r="C18">
        <f>SUM($B$1:B18)</f>
        <v>42</v>
      </c>
      <c r="D18" t="str">
        <f t="shared" si="0"/>
        <v>2A</v>
      </c>
      <c r="E18">
        <f>SUM(B12:B18)</f>
        <v>20</v>
      </c>
      <c r="F18" t="s">
        <v>20</v>
      </c>
      <c r="J18">
        <f>SUM($I$6:I18)-1</f>
        <v>17</v>
      </c>
      <c r="K18" t="str">
        <f t="shared" si="1"/>
        <v>11</v>
      </c>
    </row>
    <row r="19" spans="1:13" x14ac:dyDescent="0.2">
      <c r="C19">
        <f>SUM($B$1:B19)</f>
        <v>42</v>
      </c>
      <c r="D19" t="str">
        <f t="shared" si="0"/>
        <v>2A</v>
      </c>
      <c r="H19" t="s">
        <v>21</v>
      </c>
      <c r="I19">
        <v>2</v>
      </c>
      <c r="J19">
        <f>SUM($I$6:I19)-1</f>
        <v>19</v>
      </c>
      <c r="K19" t="str">
        <f t="shared" si="1"/>
        <v>13</v>
      </c>
    </row>
    <row r="20" spans="1:13" x14ac:dyDescent="0.2">
      <c r="C20">
        <f>SUM($B$1:B20)</f>
        <v>42</v>
      </c>
      <c r="D20" t="str">
        <f t="shared" si="0"/>
        <v>2A</v>
      </c>
      <c r="H20" t="s">
        <v>22</v>
      </c>
      <c r="I20">
        <v>2</v>
      </c>
      <c r="J20">
        <f>SUM($I$6:I20)-1</f>
        <v>21</v>
      </c>
      <c r="K20" t="str">
        <f t="shared" si="1"/>
        <v>15</v>
      </c>
      <c r="M20" t="s">
        <v>37</v>
      </c>
    </row>
    <row r="21" spans="1:13" x14ac:dyDescent="0.2">
      <c r="C21">
        <f>SUM($B$1:B21)</f>
        <v>42</v>
      </c>
      <c r="D21" t="str">
        <f t="shared" si="0"/>
        <v>2A</v>
      </c>
      <c r="H21" t="s">
        <v>23</v>
      </c>
      <c r="I21">
        <v>2</v>
      </c>
      <c r="J21">
        <f>SUM($I$6:I21)-1</f>
        <v>23</v>
      </c>
      <c r="K21" t="str">
        <f t="shared" si="1"/>
        <v>17</v>
      </c>
    </row>
    <row r="22" spans="1:13" x14ac:dyDescent="0.2">
      <c r="C22">
        <f>SUM($B$1:B22)</f>
        <v>42</v>
      </c>
      <c r="D22" t="str">
        <f t="shared" si="0"/>
        <v>2A</v>
      </c>
      <c r="H22" t="s">
        <v>24</v>
      </c>
      <c r="I22">
        <v>2</v>
      </c>
      <c r="J22">
        <f>SUM($I$6:I22)-1</f>
        <v>25</v>
      </c>
      <c r="K22" t="str">
        <f t="shared" si="1"/>
        <v>19</v>
      </c>
    </row>
    <row r="23" spans="1:13" x14ac:dyDescent="0.2">
      <c r="C23">
        <f>SUM($B$1:B23)</f>
        <v>42</v>
      </c>
      <c r="D23" t="str">
        <f t="shared" si="0"/>
        <v>2A</v>
      </c>
      <c r="J23">
        <f>SUM($I$6:I23)-1</f>
        <v>25</v>
      </c>
      <c r="K23" t="str">
        <f t="shared" si="1"/>
        <v>19</v>
      </c>
    </row>
    <row r="24" spans="1:13" x14ac:dyDescent="0.2">
      <c r="C24">
        <f>SUM($B$1:B24)</f>
        <v>42</v>
      </c>
      <c r="D24" t="str">
        <f t="shared" si="0"/>
        <v>2A</v>
      </c>
      <c r="J24">
        <f>SUM($I$6:I24)-1</f>
        <v>25</v>
      </c>
      <c r="K24" t="str">
        <f t="shared" si="1"/>
        <v>19</v>
      </c>
    </row>
    <row r="25" spans="1:13" x14ac:dyDescent="0.2">
      <c r="A25" t="s">
        <v>41</v>
      </c>
      <c r="B25">
        <v>18</v>
      </c>
      <c r="C25">
        <f>SUM($B$1:B25)</f>
        <v>60</v>
      </c>
      <c r="D25" t="str">
        <f t="shared" si="0"/>
        <v>3C</v>
      </c>
      <c r="E25">
        <v>18</v>
      </c>
      <c r="H25" t="s">
        <v>42</v>
      </c>
      <c r="I25">
        <v>18</v>
      </c>
      <c r="J25">
        <f>SUM($I$6:I25)-1</f>
        <v>43</v>
      </c>
      <c r="K25" t="str">
        <f t="shared" si="1"/>
        <v>2B</v>
      </c>
    </row>
    <row r="26" spans="1:13" x14ac:dyDescent="0.2">
      <c r="C26">
        <f>SUM($B$1:B26)</f>
        <v>60</v>
      </c>
      <c r="D26" t="str">
        <f t="shared" si="0"/>
        <v>3C</v>
      </c>
      <c r="E26">
        <f>SUM(E1:E25)</f>
        <v>60</v>
      </c>
      <c r="J26">
        <f>SUM($I$6:I26)-1</f>
        <v>43</v>
      </c>
      <c r="K26" t="str">
        <f t="shared" si="1"/>
        <v>2B</v>
      </c>
    </row>
    <row r="27" spans="1:13" x14ac:dyDescent="0.2">
      <c r="C27">
        <f>SUM($B$1:B27)</f>
        <v>60</v>
      </c>
      <c r="D27" t="str">
        <f t="shared" si="0"/>
        <v>3C</v>
      </c>
      <c r="J27">
        <f>SUM($I$6:I27)-1</f>
        <v>43</v>
      </c>
      <c r="K27" t="str">
        <f t="shared" si="1"/>
        <v>2B</v>
      </c>
    </row>
    <row r="28" spans="1:13" x14ac:dyDescent="0.2">
      <c r="A28" t="s">
        <v>12</v>
      </c>
      <c r="B28">
        <v>4</v>
      </c>
      <c r="C28">
        <f>SUM($B$1:B28)</f>
        <v>64</v>
      </c>
      <c r="D28" t="str">
        <f t="shared" si="0"/>
        <v>40</v>
      </c>
      <c r="H28" t="s">
        <v>12</v>
      </c>
      <c r="I28">
        <v>4</v>
      </c>
      <c r="J28">
        <f>SUM($I$6:I28)-1</f>
        <v>47</v>
      </c>
      <c r="K28" t="str">
        <f t="shared" si="1"/>
        <v>2F</v>
      </c>
    </row>
    <row r="29" spans="1:13" x14ac:dyDescent="0.2">
      <c r="C29">
        <f>SUM($B$1:B29)</f>
        <v>64</v>
      </c>
      <c r="D29" t="str">
        <f t="shared" si="0"/>
        <v>40</v>
      </c>
      <c r="J29">
        <f>SUM($I$6:I29)-1</f>
        <v>47</v>
      </c>
      <c r="K29" t="str">
        <f t="shared" si="1"/>
        <v>2F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גיליון1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יצחק עדני</dc:creator>
  <cp:lastModifiedBy>יצחק עדני</cp:lastModifiedBy>
  <dcterms:created xsi:type="dcterms:W3CDTF">2026-10-09T10:56:52Z</dcterms:created>
  <dcterms:modified xsi:type="dcterms:W3CDTF">2026-10-28T06:08:27Z</dcterms:modified>
</cp:coreProperties>
</file>